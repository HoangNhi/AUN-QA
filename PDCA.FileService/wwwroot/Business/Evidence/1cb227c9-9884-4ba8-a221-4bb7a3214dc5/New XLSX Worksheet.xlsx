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<sst xmlns="http://schemas.openxmlformats.org/spreadsheetml/2006/main" count="67" uniqueCount="23">
  <si>
    <t>Tên gọi</t>
  </si>
  <si>
    <t>Label</t>
  </si>
  <si>
    <t>Tiền</t>
  </si>
  <si>
    <t>Status</t>
  </si>
  <si>
    <t>Duration</t>
  </si>
  <si>
    <t>Monthly</t>
  </si>
  <si>
    <t>Sửa tươi</t>
  </si>
  <si>
    <t>Foods</t>
  </si>
  <si>
    <t>Fixed</t>
  </si>
  <si>
    <t>Cacao</t>
  </si>
  <si>
    <t>Gym</t>
  </si>
  <si>
    <t>Health</t>
  </si>
  <si>
    <t>Ăn sáng</t>
  </si>
  <si>
    <t>Xăng</t>
  </si>
  <si>
    <t>Transportation</t>
  </si>
  <si>
    <t>Lặt vặt</t>
  </si>
  <si>
    <t>Others</t>
  </si>
  <si>
    <t>Nước tẩy trang Bioderma</t>
  </si>
  <si>
    <t>Skincare</t>
  </si>
  <si>
    <t>Flexible</t>
  </si>
  <si>
    <t>Nước tẩy trang Loreal</t>
  </si>
  <si>
    <t>Sữa rửa mặt Eucerin</t>
  </si>
  <si>
    <t>Kem dưỡng La Roche Posay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</si>
</sst>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145" zoomScaleNormal="145" workbookViewId="0">
      <selection activeCell="A1" sqref="A1:F11"/>
    </sheetView>
  </sheetViews>
  <sheetFormatPr defaultColWidth="9" defaultRowHeight="14.4" outlineLevelCol="5"/>
  <cols>
    <col min="1" max="1" width="25.7777777777778" customWidth="1"/>
    <col min="2" max="2" width="14.2222222222222" customWidth="1"/>
    <col min="3" max="3" width="16" customWidth="1"/>
    <col min="6" max="6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355000</v>
      </c>
      <c r="D2" t="s">
        <v>8</v>
      </c>
      <c r="E2">
        <v>1</v>
      </c>
      <c r="F2">
        <f>C2/E2</f>
        <v>355000</v>
      </c>
    </row>
    <row r="3" spans="1:6">
      <c r="A3" t="s">
        <v>9</v>
      </c>
      <c r="B3" t="s">
        <v>7</v>
      </c>
      <c r="C3">
        <v>200000</v>
      </c>
      <c r="D3" t="s">
        <v>8</v>
      </c>
      <c r="E3">
        <v>1</v>
      </c>
      <c r="F3">
        <f t="shared" ref="F3:F11" si="0">C3/E3</f>
        <v>200000</v>
      </c>
    </row>
    <row r="4" spans="1:6">
      <c r="A4" t="s">
        <v>10</v>
      </c>
      <c r="B4" t="s">
        <v>11</v>
      </c>
      <c r="C4">
        <v>300000</v>
      </c>
      <c r="D4" t="s">
        <v>8</v>
      </c>
      <c r="E4">
        <v>1</v>
      </c>
      <c r="F4">
        <f t="shared" si="0"/>
        <v>300000</v>
      </c>
    </row>
    <row r="5" spans="1:6">
      <c r="A5" t="s">
        <v>12</v>
      </c>
      <c r="B5" t="s">
        <v>7</v>
      </c>
      <c r="C5">
        <v>1680000</v>
      </c>
      <c r="D5" t="s">
        <v>8</v>
      </c>
      <c r="E5">
        <v>1</v>
      </c>
      <c r="F5">
        <f t="shared" si="0"/>
        <v>1680000</v>
      </c>
    </row>
    <row r="6" spans="1:6">
      <c r="A6" t="s">
        <v>13</v>
      </c>
      <c r="B6" t="s">
        <v>14</v>
      </c>
      <c r="C6">
        <v>200000</v>
      </c>
      <c r="D6" t="s">
        <v>8</v>
      </c>
      <c r="E6">
        <v>1</v>
      </c>
      <c r="F6">
        <f t="shared" si="0"/>
        <v>200000</v>
      </c>
    </row>
    <row r="7" spans="1:6">
      <c r="A7" t="s">
        <v>15</v>
      </c>
      <c r="B7" t="s">
        <v>16</v>
      </c>
      <c r="C7">
        <v>200000</v>
      </c>
      <c r="D7" t="s">
        <v>8</v>
      </c>
      <c r="E7">
        <v>1</v>
      </c>
      <c r="F7">
        <f t="shared" si="0"/>
        <v>200000</v>
      </c>
    </row>
    <row r="8" spans="1:6">
      <c r="A8" t="s">
        <v>17</v>
      </c>
      <c r="B8" t="s">
        <v>18</v>
      </c>
      <c r="C8">
        <v>385000</v>
      </c>
      <c r="D8" t="s">
        <v>19</v>
      </c>
      <c r="E8">
        <v>3</v>
      </c>
      <c r="F8">
        <f t="shared" si="0"/>
        <v>128333.333333333</v>
      </c>
    </row>
    <row r="9" spans="1:6">
      <c r="A9" t="s">
        <v>20</v>
      </c>
      <c r="B9" t="s">
        <v>18</v>
      </c>
      <c r="C9">
        <v>169000</v>
      </c>
      <c r="D9" t="s">
        <v>19</v>
      </c>
      <c r="E9">
        <v>2</v>
      </c>
      <c r="F9">
        <f t="shared" si="0"/>
        <v>84500</v>
      </c>
    </row>
    <row r="10" spans="1:6">
      <c r="A10" t="s">
        <v>21</v>
      </c>
      <c r="B10" t="s">
        <v>18</v>
      </c>
      <c r="C10">
        <v>269000</v>
      </c>
      <c r="D10" t="s">
        <v>19</v>
      </c>
      <c r="E10">
        <v>4</v>
      </c>
      <c r="F10">
        <f t="shared" si="0"/>
        <v>67250</v>
      </c>
    </row>
    <row r="11" spans="1:6">
      <c r="A11" t="s">
        <v>22</v>
      </c>
      <c r="B11" t="s">
        <v>18</v>
      </c>
      <c r="C11">
        <v>350000</v>
      </c>
      <c r="D11" t="s">
        <v>19</v>
      </c>
      <c r="E11">
        <v>1</v>
      </c>
      <c r="F11">
        <f t="shared" si="0"/>
        <v>350000</v>
      </c>
    </row>
    <row r="16" spans="4:5">
      <c r="D16" t="s">
        <v>8</v>
      </c>
      <c r="E16" s="1">
        <f>SUM(F2:F7)</f>
        <v>2935000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zoomScale="145" zoomScaleNormal="145" workbookViewId="0">
      <selection activeCell="G10" sqref="G10"/>
    </sheetView>
  </sheetViews>
  <sheetFormatPr defaultColWidth="8.88888888888889" defaultRowHeight="14.4" outlineLevelCol="5"/>
  <cols>
    <col min="1" max="1" width="25.7777777777778" customWidth="1"/>
    <col min="4" max="4" width="12.8888888888889"/>
    <col min="6" max="6" width="12.8888888888889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355000</v>
      </c>
      <c r="D2" t="s">
        <v>8</v>
      </c>
      <c r="E2">
        <v>0.5</v>
      </c>
      <c r="F2">
        <f t="shared" ref="F2:F11" si="0">C2/E2</f>
        <v>710000</v>
      </c>
    </row>
    <row r="3" spans="1:6">
      <c r="A3" t="s">
        <v>9</v>
      </c>
      <c r="B3" t="s">
        <v>7</v>
      </c>
      <c r="C3">
        <v>200000</v>
      </c>
      <c r="D3" t="s">
        <v>8</v>
      </c>
      <c r="E3">
        <v>1</v>
      </c>
      <c r="F3">
        <f t="shared" si="0"/>
        <v>200000</v>
      </c>
    </row>
    <row r="4" spans="1:6">
      <c r="A4" t="s">
        <v>10</v>
      </c>
      <c r="B4" t="s">
        <v>11</v>
      </c>
      <c r="C4">
        <v>300000</v>
      </c>
      <c r="D4" t="s">
        <v>8</v>
      </c>
      <c r="E4">
        <v>1</v>
      </c>
      <c r="F4">
        <f t="shared" si="0"/>
        <v>300000</v>
      </c>
    </row>
    <row r="5" spans="1:6">
      <c r="A5" t="s">
        <v>12</v>
      </c>
      <c r="B5" t="s">
        <v>7</v>
      </c>
      <c r="C5">
        <v>1680000</v>
      </c>
      <c r="D5" t="s">
        <v>8</v>
      </c>
      <c r="E5">
        <v>1</v>
      </c>
      <c r="F5">
        <f t="shared" si="0"/>
        <v>1680000</v>
      </c>
    </row>
    <row r="6" spans="1:6">
      <c r="A6" t="s">
        <v>13</v>
      </c>
      <c r="B6" t="s">
        <v>14</v>
      </c>
      <c r="C6">
        <v>200000</v>
      </c>
      <c r="D6" t="s">
        <v>8</v>
      </c>
      <c r="E6">
        <v>1</v>
      </c>
      <c r="F6">
        <f t="shared" si="0"/>
        <v>200000</v>
      </c>
    </row>
    <row r="7" spans="1:6">
      <c r="A7" t="s">
        <v>15</v>
      </c>
      <c r="B7" t="s">
        <v>16</v>
      </c>
      <c r="C7">
        <v>200000</v>
      </c>
      <c r="D7" t="s">
        <v>8</v>
      </c>
      <c r="E7">
        <v>1</v>
      </c>
      <c r="F7">
        <f t="shared" si="0"/>
        <v>200000</v>
      </c>
    </row>
    <row r="8" spans="1:6">
      <c r="A8" t="s">
        <v>17</v>
      </c>
      <c r="B8" t="s">
        <v>18</v>
      </c>
      <c r="C8">
        <v>385000</v>
      </c>
      <c r="D8" t="s">
        <v>19</v>
      </c>
      <c r="E8">
        <v>3</v>
      </c>
      <c r="F8">
        <f t="shared" si="0"/>
        <v>128333.333333333</v>
      </c>
    </row>
    <row r="9" spans="1:6">
      <c r="A9" t="s">
        <v>21</v>
      </c>
      <c r="B9" t="s">
        <v>18</v>
      </c>
      <c r="C9">
        <v>269000</v>
      </c>
      <c r="D9" t="s">
        <v>19</v>
      </c>
      <c r="E9">
        <v>4</v>
      </c>
      <c r="F9">
        <f>C9/E9</f>
        <v>67250</v>
      </c>
    </row>
    <row r="14" spans="4:4">
      <c r="D14" s="1">
        <f>SUM(F2:F9)</f>
        <v>3485583.33333333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Nhi Đào Hoàng</cp:lastModifiedBy>
  <dcterms:created xsi:type="dcterms:W3CDTF">2025-07-21T09:59:00Z</dcterms:created>
  <dcterms:modified xsi:type="dcterms:W3CDTF">2025-11-26T14:00:57Z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5F607EE07A224D81A72C5DBF1F21177E_12</vt:lpwstr>
  </property>
  <property fmtid="{D5CDD505-2E9C-101B-9397-08002B2CF9AE}" pid="3" name="KSOProductBuildVer">
    <vt:lpwstr>1033-12.2.0.23155</vt:lpwstr>
  </property>
</Properties>
</file>